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hj\Documents\My_Git_Projects\Workflow_Metric_Reporting\mock_data\"/>
    </mc:Choice>
  </mc:AlternateContent>
  <xr:revisionPtr revIDLastSave="0" documentId="13_ncr:1_{B36ED1AE-9CA9-4218-B49D-9F3A2D2953D5}" xr6:coauthVersionLast="47" xr6:coauthVersionMax="47" xr10:uidLastSave="{00000000-0000-0000-0000-000000000000}"/>
  <bookViews>
    <workbookView xWindow="-98" yWindow="-98" windowWidth="21795" windowHeight="12975" xr2:uid="{CC4F641A-4D62-4460-9232-5940B00639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</calcChain>
</file>

<file path=xl/sharedStrings.xml><?xml version="1.0" encoding="utf-8"?>
<sst xmlns="http://schemas.openxmlformats.org/spreadsheetml/2006/main" count="106" uniqueCount="106">
  <si>
    <t>Workflow ID</t>
  </si>
  <si>
    <t>Start Datetime</t>
  </si>
  <si>
    <t>Completed Datetime</t>
  </si>
  <si>
    <t>IM-201</t>
  </si>
  <si>
    <t>Boiler pressure inspection</t>
  </si>
  <si>
    <t>IM-202</t>
  </si>
  <si>
    <t>Conveyor belt lubrication</t>
  </si>
  <si>
    <t>IM-203</t>
  </si>
  <si>
    <t>Factory lighting circuit check</t>
  </si>
  <si>
    <t>IM-204</t>
  </si>
  <si>
    <t>HVAC winter startup calibration</t>
  </si>
  <si>
    <t>IM-205</t>
  </si>
  <si>
    <t>CNC spindle alignment</t>
  </si>
  <si>
    <t>IM-206</t>
  </si>
  <si>
    <t>Hydraulic line pressure test</t>
  </si>
  <si>
    <t>IM-207</t>
  </si>
  <si>
    <t>Emergency exit lighting test</t>
  </si>
  <si>
    <t>IM-208</t>
  </si>
  <si>
    <t>Air compressor oil change</t>
  </si>
  <si>
    <t>IM-209</t>
  </si>
  <si>
    <t>Welding booth ventilation cleaning</t>
  </si>
  <si>
    <t>IM-210</t>
  </si>
  <si>
    <t>Forklift tire replacement</t>
  </si>
  <si>
    <t>IM-211</t>
  </si>
  <si>
    <t>Material lift motor inspection</t>
  </si>
  <si>
    <t>IM-212</t>
  </si>
  <si>
    <t>Robotic arm lubrication cycle</t>
  </si>
  <si>
    <t>IM-213</t>
  </si>
  <si>
    <t>Dust collection filter replacement</t>
  </si>
  <si>
    <t>IM-214</t>
  </si>
  <si>
    <t>Cooling tower water chemistry test</t>
  </si>
  <si>
    <t>IM-215</t>
  </si>
  <si>
    <t>Packing line roller replacement</t>
  </si>
  <si>
    <t>IM-216</t>
  </si>
  <si>
    <t>Fire suppression system sensor check</t>
  </si>
  <si>
    <t>IM-217</t>
  </si>
  <si>
    <t>Metal shear blade sharpening</t>
  </si>
  <si>
    <t>IM-218</t>
  </si>
  <si>
    <t>Facility air quality sampling</t>
  </si>
  <si>
    <t>IM-219</t>
  </si>
  <si>
    <t>Generator automatic transfer switch test</t>
  </si>
  <si>
    <t>IM-220</t>
  </si>
  <si>
    <t>Conveyor sensor realignment</t>
  </si>
  <si>
    <t>IM-221</t>
  </si>
  <si>
    <t>Hydraulic pump seal replacement</t>
  </si>
  <si>
    <t>IM-222</t>
  </si>
  <si>
    <t>Cooling fan vibration analysis</t>
  </si>
  <si>
    <t>IM-223</t>
  </si>
  <si>
    <t>Compressed air leak audit</t>
  </si>
  <si>
    <t>IM-224</t>
  </si>
  <si>
    <t>Loading dock ramp inspection</t>
  </si>
  <si>
    <t>IM-225</t>
  </si>
  <si>
    <t>Palletizer gear lubrication</t>
  </si>
  <si>
    <t>IM-226</t>
  </si>
  <si>
    <t>Stormwater pump electrical test</t>
  </si>
  <si>
    <t>IM-227</t>
  </si>
  <si>
    <t>Storage tank level sensor recalibration</t>
  </si>
  <si>
    <t>IM-228</t>
  </si>
  <si>
    <t>Emergency generator monthly run</t>
  </si>
  <si>
    <t>IM-229</t>
  </si>
  <si>
    <t>Chiller cooling loop flush</t>
  </si>
  <si>
    <t>IM-230</t>
  </si>
  <si>
    <t>Steel press temperature probe test</t>
  </si>
  <si>
    <t>IM-231</t>
  </si>
  <si>
    <t>Plant safety shower inspection</t>
  </si>
  <si>
    <t>IM-232</t>
  </si>
  <si>
    <t>Warehouse roof ventilation fan service</t>
  </si>
  <si>
    <t>IM-233</t>
  </si>
  <si>
    <t>Conveyor belt motor replacement</t>
  </si>
  <si>
    <t>IM-234</t>
  </si>
  <si>
    <t>Overhead crane load test</t>
  </si>
  <si>
    <t>IM-235</t>
  </si>
  <si>
    <t>Cooling tower fan gearbox oil change</t>
  </si>
  <si>
    <t>IM-236</t>
  </si>
  <si>
    <t>Paint booth exhaust calibration</t>
  </si>
  <si>
    <t>IM-237</t>
  </si>
  <si>
    <t>Electrical grounding system test</t>
  </si>
  <si>
    <t>IM-238</t>
  </si>
  <si>
    <t>Loading conveyor belt tensioning</t>
  </si>
  <si>
    <t>IM-239</t>
  </si>
  <si>
    <t>Backup server cooling inspection</t>
  </si>
  <si>
    <t>IM-240</t>
  </si>
  <si>
    <t>Pipe system ultrasonic leak scan</t>
  </si>
  <si>
    <t>IM-241</t>
  </si>
  <si>
    <t>Pressure gauge recalibration</t>
  </si>
  <si>
    <t>IM-242</t>
  </si>
  <si>
    <t>Forklift brake system rebuild</t>
  </si>
  <si>
    <t>IM-243</t>
  </si>
  <si>
    <t>Welding station power audit</t>
  </si>
  <si>
    <t>IM-244</t>
  </si>
  <si>
    <t>Chiller refrigerant level top-off</t>
  </si>
  <si>
    <t>IM-245</t>
  </si>
  <si>
    <t>Heat exchanger plate cleaning</t>
  </si>
  <si>
    <t>IM-246</t>
  </si>
  <si>
    <t>Fire door mechanical inspection</t>
  </si>
  <si>
    <t>IM-247</t>
  </si>
  <si>
    <t>Air dryer desiccant replacement</t>
  </si>
  <si>
    <t>IM-248</t>
  </si>
  <si>
    <t>Generator winter prep service</t>
  </si>
  <si>
    <t>IM-249</t>
  </si>
  <si>
    <t>Cold storage evaporator coil cleaning</t>
  </si>
  <si>
    <t>IM-250</t>
  </si>
  <si>
    <t>Annual plant shutdown maintenance review</t>
  </si>
  <si>
    <t>Workflow Description</t>
  </si>
  <si>
    <t>Start Week</t>
  </si>
  <si>
    <t>Close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</si>
</sst>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7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7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7"/>
        <name val="Aptos Narrow"/>
        <family val="2"/>
        <scheme val="minor"/>
      </font>
      <numFmt numFmtId="0" formatCode="General"/>
    </dxf>
    <dxf>
      <numFmt numFmtId="27" formatCode="m/d/yyyy\ h:mm"/>
      <alignment horizontal="general" vertical="center" textRotation="0" wrapText="0" indent="0" justifyLastLine="0" shrinkToFit="0" readingOrder="0"/>
    </dxf>
    <dxf>
      <numFmt numFmtId="27" formatCode="m/d/yyyy\ h:mm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F2B75-268C-4D30-A85B-85242E0BB9ED}" name="Table1" displayName="Table1" ref="A1:F51" totalsRowShown="0" headerRowDxfId="6">
  <autoFilter ref="A1:F51" xr:uid="{F3DF2B75-268C-4D30-A85B-85242E0BB9ED}"/>
  <tableColumns count="6">
    <tableColumn id="1" xr3:uid="{7A372AC1-32F5-49AE-B16D-419F07923553}" name="Workflow ID" dataDxfId="5"/>
    <tableColumn id="2" xr3:uid="{FC0DFAB6-C035-44B0-B3AE-84F9F535BF10}" name="Workflow Description" dataDxfId="4"/>
    <tableColumn id="3" xr3:uid="{AD90E39F-3739-4025-933C-07550B1E7F62}" name="Start Datetime" dataDxfId="3"/>
    <tableColumn id="4" xr3:uid="{8E737371-6B99-4A63-9CB5-3D231402B7A6}" name="Completed Datetime" dataDxfId="2"/>
    <tableColumn id="5" xr3:uid="{52A71F8D-2040-4D8A-8ABC-DC36373CEEC6}" name="Start Week" dataDxfId="1">
      <calculatedColumnFormula>WEEKNUM(Table1[[#This Row],[Start Datetime]])</calculatedColumnFormula>
    </tableColumn>
    <tableColumn id="6" xr3:uid="{3B57E722-DDBA-49C3-ABDA-F7941D84AF48}" name="Close Week" dataDxfId="0">
      <calculatedColumnFormula>WEEKNUM(Table1[[#This Row],[Completed Datetime]])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03C6-2172-43CC-90ED-BA1C3D70066D}">
  <dimension ref="A1:F51"/>
  <sheetViews>
    <sheetView tabSelected="1" workbookViewId="0">
      <selection activeCell="F2" sqref="F2:F51"/>
    </sheetView>
  </sheetViews>
  <sheetFormatPr defaultRowHeight="14.25" x14ac:dyDescent="0.45"/>
  <cols>
    <col min="1" max="1" width="12.33203125" customWidth="1"/>
    <col min="2" max="2" width="30.3984375" customWidth="1"/>
    <col min="3" max="4" width="19.1328125" customWidth="1"/>
  </cols>
  <sheetData>
    <row r="1" spans="1:6" s="4" customFormat="1" x14ac:dyDescent="0.45">
      <c r="A1" s="3" t="s">
        <v>0</v>
      </c>
      <c r="B1" s="3" t="s">
        <v>103</v>
      </c>
      <c r="C1" s="3" t="s">
        <v>1</v>
      </c>
      <c r="D1" s="3" t="s">
        <v>2</v>
      </c>
      <c r="E1" s="3" t="s">
        <v>104</v>
      </c>
      <c r="F1" s="3" t="s">
        <v>105</v>
      </c>
    </row>
    <row r="2" spans="1:6" x14ac:dyDescent="0.45">
      <c r="A2" s="1" t="s">
        <v>3</v>
      </c>
      <c r="B2" s="1" t="s">
        <v>4</v>
      </c>
      <c r="C2" s="2">
        <v>45660.302083333336</v>
      </c>
      <c r="D2" s="2">
        <v>45660.334722222222</v>
      </c>
      <c r="E2" s="5">
        <f>WEEKNUM(Table1[[#This Row],[Start Datetime]])</f>
        <v>1</v>
      </c>
      <c r="F2" s="5">
        <f>WEEKNUM(Table1[[#This Row],[Completed Datetime]])</f>
        <v>1</v>
      </c>
    </row>
    <row r="3" spans="1:6" x14ac:dyDescent="0.45">
      <c r="A3" s="1" t="s">
        <v>5</v>
      </c>
      <c r="B3" s="1" t="s">
        <v>6</v>
      </c>
      <c r="C3" s="2">
        <v>45667.288194444445</v>
      </c>
      <c r="D3" s="2">
        <v>45667.308333333334</v>
      </c>
      <c r="E3" s="5">
        <f>WEEKNUM(Table1[[#This Row],[Start Datetime]])</f>
        <v>2</v>
      </c>
      <c r="F3" s="5">
        <f>WEEKNUM(Table1[[#This Row],[Completed Datetime]])</f>
        <v>2</v>
      </c>
    </row>
    <row r="4" spans="1:6" x14ac:dyDescent="0.45">
      <c r="A4" s="1" t="s">
        <v>7</v>
      </c>
      <c r="B4" s="1" t="s">
        <v>8</v>
      </c>
      <c r="C4" s="2">
        <v>45675.555555555555</v>
      </c>
      <c r="D4" s="2">
        <v>45675.591666666667</v>
      </c>
      <c r="E4" s="5">
        <f>WEEKNUM(Table1[[#This Row],[Start Datetime]])</f>
        <v>3</v>
      </c>
      <c r="F4" s="5">
        <f>WEEKNUM(Table1[[#This Row],[Completed Datetime]])</f>
        <v>3</v>
      </c>
    </row>
    <row r="5" spans="1:6" x14ac:dyDescent="0.45">
      <c r="A5" s="1" t="s">
        <v>9</v>
      </c>
      <c r="B5" s="1" t="s">
        <v>10</v>
      </c>
      <c r="C5" s="2">
        <v>45682.402777777781</v>
      </c>
      <c r="D5" s="2">
        <v>45682.436111111114</v>
      </c>
      <c r="E5" s="5">
        <f>WEEKNUM(Table1[[#This Row],[Start Datetime]])</f>
        <v>4</v>
      </c>
      <c r="F5" s="5">
        <f>WEEKNUM(Table1[[#This Row],[Completed Datetime]])</f>
        <v>4</v>
      </c>
    </row>
    <row r="6" spans="1:6" x14ac:dyDescent="0.45">
      <c r="A6" s="1" t="s">
        <v>11</v>
      </c>
      <c r="B6" s="1" t="s">
        <v>12</v>
      </c>
      <c r="C6" s="2">
        <v>45689.466666666667</v>
      </c>
      <c r="D6" s="2">
        <v>45689.503472222219</v>
      </c>
      <c r="E6" s="5">
        <f>WEEKNUM(Table1[[#This Row],[Start Datetime]])</f>
        <v>5</v>
      </c>
      <c r="F6" s="5">
        <f>WEEKNUM(Table1[[#This Row],[Completed Datetime]])</f>
        <v>5</v>
      </c>
    </row>
    <row r="7" spans="1:6" x14ac:dyDescent="0.45">
      <c r="A7" s="1" t="s">
        <v>13</v>
      </c>
      <c r="B7" s="1" t="s">
        <v>14</v>
      </c>
      <c r="C7" s="2">
        <v>45693.618055555555</v>
      </c>
      <c r="D7" s="2">
        <v>45693.650694444441</v>
      </c>
      <c r="E7" s="5">
        <f>WEEKNUM(Table1[[#This Row],[Start Datetime]])</f>
        <v>6</v>
      </c>
      <c r="F7" s="5">
        <f>WEEKNUM(Table1[[#This Row],[Completed Datetime]])</f>
        <v>6</v>
      </c>
    </row>
    <row r="8" spans="1:6" x14ac:dyDescent="0.45">
      <c r="A8" s="1" t="s">
        <v>15</v>
      </c>
      <c r="B8" s="1" t="s">
        <v>16</v>
      </c>
      <c r="C8" s="2">
        <v>45699.340277777781</v>
      </c>
      <c r="D8" s="2">
        <v>45699.362500000003</v>
      </c>
      <c r="E8" s="5">
        <f>WEEKNUM(Table1[[#This Row],[Start Datetime]])</f>
        <v>7</v>
      </c>
      <c r="F8" s="5">
        <f>WEEKNUM(Table1[[#This Row],[Completed Datetime]])</f>
        <v>7</v>
      </c>
    </row>
    <row r="9" spans="1:6" x14ac:dyDescent="0.45">
      <c r="A9" s="1" t="s">
        <v>17</v>
      </c>
      <c r="B9" s="1" t="s">
        <v>18</v>
      </c>
      <c r="C9" s="2">
        <v>45703.3125</v>
      </c>
      <c r="D9" s="2">
        <v>45703.345833333333</v>
      </c>
      <c r="E9" s="5">
        <f>WEEKNUM(Table1[[#This Row],[Start Datetime]])</f>
        <v>7</v>
      </c>
      <c r="F9" s="5">
        <f>WEEKNUM(Table1[[#This Row],[Completed Datetime]])</f>
        <v>7</v>
      </c>
    </row>
    <row r="10" spans="1:6" x14ac:dyDescent="0.45">
      <c r="A10" s="1" t="s">
        <v>19</v>
      </c>
      <c r="B10" s="1" t="s">
        <v>20</v>
      </c>
      <c r="C10" s="2">
        <v>45710.666666666664</v>
      </c>
      <c r="D10" s="2">
        <v>45710.697222222225</v>
      </c>
      <c r="E10" s="5">
        <f>WEEKNUM(Table1[[#This Row],[Start Datetime]])</f>
        <v>8</v>
      </c>
      <c r="F10" s="5">
        <f>WEEKNUM(Table1[[#This Row],[Completed Datetime]])</f>
        <v>8</v>
      </c>
    </row>
    <row r="11" spans="1:6" x14ac:dyDescent="0.45">
      <c r="A11" s="1" t="s">
        <v>21</v>
      </c>
      <c r="B11" s="1" t="s">
        <v>22</v>
      </c>
      <c r="C11" s="2">
        <v>45719.420138888891</v>
      </c>
      <c r="D11" s="2">
        <v>45719.436805555553</v>
      </c>
      <c r="E11" s="5">
        <f>WEEKNUM(Table1[[#This Row],[Start Datetime]])</f>
        <v>10</v>
      </c>
      <c r="F11" s="5">
        <f>WEEKNUM(Table1[[#This Row],[Completed Datetime]])</f>
        <v>10</v>
      </c>
    </row>
    <row r="12" spans="1:6" x14ac:dyDescent="0.45">
      <c r="A12" s="1" t="s">
        <v>23</v>
      </c>
      <c r="B12" s="1" t="s">
        <v>24</v>
      </c>
      <c r="C12" s="2">
        <v>45723.388888888891</v>
      </c>
      <c r="D12" s="2">
        <v>45723.427083333336</v>
      </c>
      <c r="E12" s="5">
        <f>WEEKNUM(Table1[[#This Row],[Start Datetime]])</f>
        <v>10</v>
      </c>
      <c r="F12" s="5">
        <f>WEEKNUM(Table1[[#This Row],[Completed Datetime]])</f>
        <v>10</v>
      </c>
    </row>
    <row r="13" spans="1:6" x14ac:dyDescent="0.45">
      <c r="A13" s="1" t="s">
        <v>25</v>
      </c>
      <c r="B13" s="1" t="s">
        <v>26</v>
      </c>
      <c r="C13" s="2">
        <v>45728.611111111109</v>
      </c>
      <c r="D13" s="2">
        <v>45728.627083333333</v>
      </c>
      <c r="E13" s="5">
        <f>WEEKNUM(Table1[[#This Row],[Start Datetime]])</f>
        <v>11</v>
      </c>
      <c r="F13" s="5">
        <f>WEEKNUM(Table1[[#This Row],[Completed Datetime]])</f>
        <v>11</v>
      </c>
    </row>
    <row r="14" spans="1:6" x14ac:dyDescent="0.45">
      <c r="A14" s="1" t="s">
        <v>27</v>
      </c>
      <c r="B14" s="1" t="s">
        <v>28</v>
      </c>
      <c r="C14" s="2">
        <v>45734.284722222219</v>
      </c>
      <c r="D14" s="2">
        <v>45734.301388888889</v>
      </c>
      <c r="E14" s="5">
        <f>WEEKNUM(Table1[[#This Row],[Start Datetime]])</f>
        <v>12</v>
      </c>
      <c r="F14" s="5">
        <f>WEEKNUM(Table1[[#This Row],[Completed Datetime]])</f>
        <v>12</v>
      </c>
    </row>
    <row r="15" spans="1:6" x14ac:dyDescent="0.45">
      <c r="A15" s="1" t="s">
        <v>29</v>
      </c>
      <c r="B15" s="1" t="s">
        <v>30</v>
      </c>
      <c r="C15" s="2">
        <v>45741.458333333336</v>
      </c>
      <c r="D15" s="2">
        <v>45741.484722222223</v>
      </c>
      <c r="E15" s="5">
        <f>WEEKNUM(Table1[[#This Row],[Start Datetime]])</f>
        <v>13</v>
      </c>
      <c r="F15" s="5">
        <f>WEEKNUM(Table1[[#This Row],[Completed Datetime]])</f>
        <v>13</v>
      </c>
    </row>
    <row r="16" spans="1:6" x14ac:dyDescent="0.45">
      <c r="A16" s="1" t="s">
        <v>31</v>
      </c>
      <c r="B16" s="1" t="s">
        <v>32</v>
      </c>
      <c r="C16" s="2">
        <v>45749.631944444445</v>
      </c>
      <c r="D16" s="2">
        <v>45749.663194444445</v>
      </c>
      <c r="E16" s="5">
        <f>WEEKNUM(Table1[[#This Row],[Start Datetime]])</f>
        <v>14</v>
      </c>
      <c r="F16" s="5">
        <f>WEEKNUM(Table1[[#This Row],[Completed Datetime]])</f>
        <v>14</v>
      </c>
    </row>
    <row r="17" spans="1:6" x14ac:dyDescent="0.45">
      <c r="A17" s="1" t="s">
        <v>33</v>
      </c>
      <c r="B17" s="1" t="s">
        <v>34</v>
      </c>
      <c r="C17" s="2">
        <v>45756.348611111112</v>
      </c>
      <c r="D17" s="2">
        <v>45756.381944444445</v>
      </c>
      <c r="E17" s="5">
        <f>WEEKNUM(Table1[[#This Row],[Start Datetime]])</f>
        <v>15</v>
      </c>
      <c r="F17" s="5">
        <f>WEEKNUM(Table1[[#This Row],[Completed Datetime]])</f>
        <v>15</v>
      </c>
    </row>
    <row r="18" spans="1:6" x14ac:dyDescent="0.45">
      <c r="A18" s="1" t="s">
        <v>35</v>
      </c>
      <c r="B18" s="1" t="s">
        <v>36</v>
      </c>
      <c r="C18" s="2">
        <v>45761.53125</v>
      </c>
      <c r="D18" s="2">
        <v>45761.556944444441</v>
      </c>
      <c r="E18" s="5">
        <f>WEEKNUM(Table1[[#This Row],[Start Datetime]])</f>
        <v>16</v>
      </c>
      <c r="F18" s="5">
        <f>WEEKNUM(Table1[[#This Row],[Completed Datetime]])</f>
        <v>16</v>
      </c>
    </row>
    <row r="19" spans="1:6" x14ac:dyDescent="0.45">
      <c r="A19" s="1" t="s">
        <v>37</v>
      </c>
      <c r="B19" s="1" t="s">
        <v>38</v>
      </c>
      <c r="C19" s="2">
        <v>45768.423611111109</v>
      </c>
      <c r="D19" s="2"/>
      <c r="E19" s="5">
        <f>WEEKNUM(Table1[[#This Row],[Start Datetime]])</f>
        <v>17</v>
      </c>
      <c r="F19" s="5">
        <f>WEEKNUM(Table1[[#This Row],[Completed Datetime]])</f>
        <v>0</v>
      </c>
    </row>
    <row r="20" spans="1:6" x14ac:dyDescent="0.45">
      <c r="A20" s="1" t="s">
        <v>39</v>
      </c>
      <c r="B20" s="1" t="s">
        <v>40</v>
      </c>
      <c r="C20" s="2">
        <v>45776.305555555555</v>
      </c>
      <c r="D20" s="2">
        <v>45776.336805555555</v>
      </c>
      <c r="E20" s="5">
        <f>WEEKNUM(Table1[[#This Row],[Start Datetime]])</f>
        <v>18</v>
      </c>
      <c r="F20" s="5">
        <f>WEEKNUM(Table1[[#This Row],[Completed Datetime]])</f>
        <v>18</v>
      </c>
    </row>
    <row r="21" spans="1:6" x14ac:dyDescent="0.45">
      <c r="A21" s="1" t="s">
        <v>41</v>
      </c>
      <c r="B21" s="1" t="s">
        <v>42</v>
      </c>
      <c r="C21" s="2">
        <v>45781.375</v>
      </c>
      <c r="D21" s="2">
        <v>45781.4</v>
      </c>
      <c r="E21" s="5">
        <f>WEEKNUM(Table1[[#This Row],[Start Datetime]])</f>
        <v>19</v>
      </c>
      <c r="F21" s="5">
        <f>WEEKNUM(Table1[[#This Row],[Completed Datetime]])</f>
        <v>19</v>
      </c>
    </row>
    <row r="22" spans="1:6" x14ac:dyDescent="0.45">
      <c r="A22" s="1" t="s">
        <v>43</v>
      </c>
      <c r="B22" s="1" t="s">
        <v>44</v>
      </c>
      <c r="C22" s="2">
        <v>45787.569444444445</v>
      </c>
      <c r="D22" s="2">
        <v>45787.602777777778</v>
      </c>
      <c r="E22" s="5">
        <f>WEEKNUM(Table1[[#This Row],[Start Datetime]])</f>
        <v>19</v>
      </c>
      <c r="F22" s="5">
        <f>WEEKNUM(Table1[[#This Row],[Completed Datetime]])</f>
        <v>19</v>
      </c>
    </row>
    <row r="23" spans="1:6" x14ac:dyDescent="0.45">
      <c r="A23" s="1" t="s">
        <v>45</v>
      </c>
      <c r="B23" s="1" t="s">
        <v>46</v>
      </c>
      <c r="C23" s="2">
        <v>45793.34375</v>
      </c>
      <c r="D23" s="2">
        <v>45793.370833333334</v>
      </c>
      <c r="E23" s="5">
        <f>WEEKNUM(Table1[[#This Row],[Start Datetime]])</f>
        <v>20</v>
      </c>
      <c r="F23" s="5">
        <f>WEEKNUM(Table1[[#This Row],[Completed Datetime]])</f>
        <v>20</v>
      </c>
    </row>
    <row r="24" spans="1:6" x14ac:dyDescent="0.45">
      <c r="A24" s="1" t="s">
        <v>47</v>
      </c>
      <c r="B24" s="1" t="s">
        <v>48</v>
      </c>
      <c r="C24" s="2">
        <v>45799.481249999997</v>
      </c>
      <c r="D24" s="2">
        <v>45799.513888888891</v>
      </c>
      <c r="E24" s="5">
        <f>WEEKNUM(Table1[[#This Row],[Start Datetime]])</f>
        <v>21</v>
      </c>
      <c r="F24" s="5">
        <f>WEEKNUM(Table1[[#This Row],[Completed Datetime]])</f>
        <v>21</v>
      </c>
    </row>
    <row r="25" spans="1:6" x14ac:dyDescent="0.45">
      <c r="A25" s="1" t="s">
        <v>49</v>
      </c>
      <c r="B25" s="1" t="s">
        <v>50</v>
      </c>
      <c r="C25" s="2">
        <v>45806.324999999997</v>
      </c>
      <c r="D25" s="2">
        <v>45806.345138888886</v>
      </c>
      <c r="E25" s="5">
        <f>WEEKNUM(Table1[[#This Row],[Start Datetime]])</f>
        <v>22</v>
      </c>
      <c r="F25" s="5">
        <f>WEEKNUM(Table1[[#This Row],[Completed Datetime]])</f>
        <v>22</v>
      </c>
    </row>
    <row r="26" spans="1:6" x14ac:dyDescent="0.45">
      <c r="A26" s="1" t="s">
        <v>51</v>
      </c>
      <c r="B26" s="1" t="s">
        <v>52</v>
      </c>
      <c r="C26" s="2">
        <v>45811.270833333336</v>
      </c>
      <c r="D26" s="2">
        <v>45811.29583333333</v>
      </c>
      <c r="E26" s="5">
        <f>WEEKNUM(Table1[[#This Row],[Start Datetime]])</f>
        <v>23</v>
      </c>
      <c r="F26" s="5">
        <f>WEEKNUM(Table1[[#This Row],[Completed Datetime]])</f>
        <v>23</v>
      </c>
    </row>
    <row r="27" spans="1:6" x14ac:dyDescent="0.45">
      <c r="A27" s="1" t="s">
        <v>53</v>
      </c>
      <c r="B27" s="1" t="s">
        <v>54</v>
      </c>
      <c r="C27" s="2">
        <v>45816.385416666664</v>
      </c>
      <c r="D27" s="2">
        <v>45816.40902777778</v>
      </c>
      <c r="E27" s="5">
        <f>WEEKNUM(Table1[[#This Row],[Start Datetime]])</f>
        <v>24</v>
      </c>
      <c r="F27" s="5">
        <f>WEEKNUM(Table1[[#This Row],[Completed Datetime]])</f>
        <v>24</v>
      </c>
    </row>
    <row r="28" spans="1:6" x14ac:dyDescent="0.45">
      <c r="A28" s="1" t="s">
        <v>55</v>
      </c>
      <c r="B28" s="1" t="s">
        <v>56</v>
      </c>
      <c r="C28" s="2">
        <v>45822.590277777781</v>
      </c>
      <c r="D28" s="2">
        <v>45822.623611111114</v>
      </c>
      <c r="E28" s="5">
        <f>WEEKNUM(Table1[[#This Row],[Start Datetime]])</f>
        <v>24</v>
      </c>
      <c r="F28" s="5">
        <f>WEEKNUM(Table1[[#This Row],[Completed Datetime]])</f>
        <v>24</v>
      </c>
    </row>
    <row r="29" spans="1:6" x14ac:dyDescent="0.45">
      <c r="A29" s="1" t="s">
        <v>57</v>
      </c>
      <c r="B29" s="1" t="s">
        <v>58</v>
      </c>
      <c r="C29" s="2">
        <v>45830.625</v>
      </c>
      <c r="D29" s="2">
        <v>45830.65625</v>
      </c>
      <c r="E29" s="5">
        <f>WEEKNUM(Table1[[#This Row],[Start Datetime]])</f>
        <v>26</v>
      </c>
      <c r="F29" s="5">
        <f>WEEKNUM(Table1[[#This Row],[Completed Datetime]])</f>
        <v>26</v>
      </c>
    </row>
    <row r="30" spans="1:6" x14ac:dyDescent="0.45">
      <c r="A30" s="1" t="s">
        <v>59</v>
      </c>
      <c r="B30" s="1" t="s">
        <v>60</v>
      </c>
      <c r="C30" s="2">
        <v>45839.368055555555</v>
      </c>
      <c r="D30" s="2">
        <v>45839.399305555555</v>
      </c>
      <c r="E30" s="5">
        <f>WEEKNUM(Table1[[#This Row],[Start Datetime]])</f>
        <v>27</v>
      </c>
      <c r="F30" s="5">
        <f>WEEKNUM(Table1[[#This Row],[Completed Datetime]])</f>
        <v>27</v>
      </c>
    </row>
    <row r="31" spans="1:6" x14ac:dyDescent="0.45">
      <c r="A31" s="1" t="s">
        <v>61</v>
      </c>
      <c r="B31" s="1" t="s">
        <v>62</v>
      </c>
      <c r="C31" s="2">
        <v>45845.5625</v>
      </c>
      <c r="D31" s="2">
        <v>45845.591666666667</v>
      </c>
      <c r="E31" s="5">
        <f>WEEKNUM(Table1[[#This Row],[Start Datetime]])</f>
        <v>28</v>
      </c>
      <c r="F31" s="5">
        <f>WEEKNUM(Table1[[#This Row],[Completed Datetime]])</f>
        <v>28</v>
      </c>
    </row>
    <row r="32" spans="1:6" x14ac:dyDescent="0.45">
      <c r="A32" s="1" t="s">
        <v>63</v>
      </c>
      <c r="B32" s="1" t="s">
        <v>64</v>
      </c>
      <c r="C32" s="2">
        <v>45850.431944444441</v>
      </c>
      <c r="D32" s="2">
        <v>45850.45</v>
      </c>
      <c r="E32" s="5">
        <f>WEEKNUM(Table1[[#This Row],[Start Datetime]])</f>
        <v>28</v>
      </c>
      <c r="F32" s="5">
        <f>WEEKNUM(Table1[[#This Row],[Completed Datetime]])</f>
        <v>28</v>
      </c>
    </row>
    <row r="33" spans="1:6" x14ac:dyDescent="0.45">
      <c r="A33" s="1" t="s">
        <v>65</v>
      </c>
      <c r="B33" s="1" t="s">
        <v>66</v>
      </c>
      <c r="C33" s="2">
        <v>45856.28125</v>
      </c>
      <c r="D33" s="2">
        <v>45856.311111111114</v>
      </c>
      <c r="E33" s="5">
        <f>WEEKNUM(Table1[[#This Row],[Start Datetime]])</f>
        <v>29</v>
      </c>
      <c r="F33" s="5">
        <f>WEEKNUM(Table1[[#This Row],[Completed Datetime]])</f>
        <v>29</v>
      </c>
    </row>
    <row r="34" spans="1:6" x14ac:dyDescent="0.45">
      <c r="A34" s="1" t="s">
        <v>67</v>
      </c>
      <c r="B34" s="1" t="s">
        <v>68</v>
      </c>
      <c r="C34" s="2">
        <v>45863.673611111109</v>
      </c>
      <c r="D34" s="2">
        <v>45863.709722222222</v>
      </c>
      <c r="E34" s="5">
        <f>WEEKNUM(Table1[[#This Row],[Start Datetime]])</f>
        <v>30</v>
      </c>
      <c r="F34" s="5">
        <f>WEEKNUM(Table1[[#This Row],[Completed Datetime]])</f>
        <v>30</v>
      </c>
    </row>
    <row r="35" spans="1:6" x14ac:dyDescent="0.45">
      <c r="A35" s="1" t="s">
        <v>69</v>
      </c>
      <c r="B35" s="1" t="s">
        <v>70</v>
      </c>
      <c r="C35" s="2">
        <v>45871.465277777781</v>
      </c>
      <c r="D35" s="2">
        <v>45871.5</v>
      </c>
      <c r="E35" s="5">
        <f>WEEKNUM(Table1[[#This Row],[Start Datetime]])</f>
        <v>31</v>
      </c>
      <c r="F35" s="5">
        <f>WEEKNUM(Table1[[#This Row],[Completed Datetime]])</f>
        <v>31</v>
      </c>
    </row>
    <row r="36" spans="1:6" x14ac:dyDescent="0.45">
      <c r="A36" s="1" t="s">
        <v>71</v>
      </c>
      <c r="B36" s="1" t="s">
        <v>72</v>
      </c>
      <c r="C36" s="2">
        <v>45878.315972222219</v>
      </c>
      <c r="D36" s="2">
        <v>45878.347916666666</v>
      </c>
      <c r="E36" s="5">
        <f>WEEKNUM(Table1[[#This Row],[Start Datetime]])</f>
        <v>32</v>
      </c>
      <c r="F36" s="5">
        <f>WEEKNUM(Table1[[#This Row],[Completed Datetime]])</f>
        <v>32</v>
      </c>
    </row>
    <row r="37" spans="1:6" x14ac:dyDescent="0.45">
      <c r="A37" s="1" t="s">
        <v>73</v>
      </c>
      <c r="B37" s="1" t="s">
        <v>74</v>
      </c>
      <c r="C37" s="2">
        <v>45884.652777777781</v>
      </c>
      <c r="D37" s="2">
        <v>45884.679861111108</v>
      </c>
      <c r="E37" s="5">
        <f>WEEKNUM(Table1[[#This Row],[Start Datetime]])</f>
        <v>33</v>
      </c>
      <c r="F37" s="5">
        <f>WEEKNUM(Table1[[#This Row],[Completed Datetime]])</f>
        <v>33</v>
      </c>
    </row>
    <row r="38" spans="1:6" x14ac:dyDescent="0.45">
      <c r="A38" s="1" t="s">
        <v>75</v>
      </c>
      <c r="B38" s="1" t="s">
        <v>76</v>
      </c>
      <c r="C38" s="2">
        <v>45890.409722222219</v>
      </c>
      <c r="D38" s="2">
        <v>45890.440972222219</v>
      </c>
      <c r="E38" s="5">
        <f>WEEKNUM(Table1[[#This Row],[Start Datetime]])</f>
        <v>34</v>
      </c>
      <c r="F38" s="5">
        <f>WEEKNUM(Table1[[#This Row],[Completed Datetime]])</f>
        <v>34</v>
      </c>
    </row>
    <row r="39" spans="1:6" x14ac:dyDescent="0.45">
      <c r="A39" s="1" t="s">
        <v>77</v>
      </c>
      <c r="B39" s="1" t="s">
        <v>78</v>
      </c>
      <c r="C39" s="2">
        <v>45896.600694444445</v>
      </c>
      <c r="D39" s="2">
        <v>45896.627083333333</v>
      </c>
      <c r="E39" s="5">
        <f>WEEKNUM(Table1[[#This Row],[Start Datetime]])</f>
        <v>35</v>
      </c>
      <c r="F39" s="5">
        <f>WEEKNUM(Table1[[#This Row],[Completed Datetime]])</f>
        <v>35</v>
      </c>
    </row>
    <row r="40" spans="1:6" x14ac:dyDescent="0.45">
      <c r="A40" s="1" t="s">
        <v>79</v>
      </c>
      <c r="B40" s="1" t="s">
        <v>80</v>
      </c>
      <c r="C40" s="2">
        <v>45902.503472222219</v>
      </c>
      <c r="D40" s="2">
        <v>45902.527777777781</v>
      </c>
      <c r="E40" s="5">
        <f>WEEKNUM(Table1[[#This Row],[Start Datetime]])</f>
        <v>36</v>
      </c>
      <c r="F40" s="5">
        <f>WEEKNUM(Table1[[#This Row],[Completed Datetime]])</f>
        <v>36</v>
      </c>
    </row>
    <row r="41" spans="1:6" x14ac:dyDescent="0.45">
      <c r="A41" s="1" t="s">
        <v>81</v>
      </c>
      <c r="B41" s="1" t="s">
        <v>82</v>
      </c>
      <c r="C41" s="2">
        <v>45910.329861111109</v>
      </c>
      <c r="D41" s="2">
        <v>45910.367361111108</v>
      </c>
      <c r="E41" s="5">
        <f>WEEKNUM(Table1[[#This Row],[Start Datetime]])</f>
        <v>37</v>
      </c>
      <c r="F41" s="5">
        <f>WEEKNUM(Table1[[#This Row],[Completed Datetime]])</f>
        <v>37</v>
      </c>
    </row>
    <row r="42" spans="1:6" x14ac:dyDescent="0.45">
      <c r="A42" s="1" t="s">
        <v>83</v>
      </c>
      <c r="B42" s="1" t="s">
        <v>84</v>
      </c>
      <c r="C42" s="2">
        <v>45915.473611111112</v>
      </c>
      <c r="D42" s="2"/>
      <c r="E42" s="5">
        <f>WEEKNUM(Table1[[#This Row],[Start Datetime]])</f>
        <v>38</v>
      </c>
      <c r="F42" s="5">
        <f>WEEKNUM(Table1[[#This Row],[Completed Datetime]])</f>
        <v>0</v>
      </c>
    </row>
    <row r="43" spans="1:6" x14ac:dyDescent="0.45">
      <c r="A43" s="1" t="s">
        <v>85</v>
      </c>
      <c r="B43" s="1" t="s">
        <v>86</v>
      </c>
      <c r="C43" s="2">
        <v>45922.541666666664</v>
      </c>
      <c r="D43" s="2">
        <v>45922.590277777781</v>
      </c>
      <c r="E43" s="5">
        <f>WEEKNUM(Table1[[#This Row],[Start Datetime]])</f>
        <v>39</v>
      </c>
      <c r="F43" s="5">
        <f>WEEKNUM(Table1[[#This Row],[Completed Datetime]])</f>
        <v>39</v>
      </c>
    </row>
    <row r="44" spans="1:6" x14ac:dyDescent="0.45">
      <c r="A44" s="1" t="s">
        <v>87</v>
      </c>
      <c r="B44" s="1" t="s">
        <v>88</v>
      </c>
      <c r="C44" s="2">
        <v>45930.638888888891</v>
      </c>
      <c r="D44" s="2">
        <v>45930.663194444445</v>
      </c>
      <c r="E44" s="5">
        <f>WEEKNUM(Table1[[#This Row],[Start Datetime]])</f>
        <v>40</v>
      </c>
      <c r="F44" s="5">
        <f>WEEKNUM(Table1[[#This Row],[Completed Datetime]])</f>
        <v>40</v>
      </c>
    </row>
    <row r="45" spans="1:6" x14ac:dyDescent="0.45">
      <c r="A45" s="1" t="s">
        <v>89</v>
      </c>
      <c r="B45" s="1" t="s">
        <v>90</v>
      </c>
      <c r="C45" s="2">
        <v>45936.427083333336</v>
      </c>
      <c r="D45" s="2">
        <v>45936.449305555558</v>
      </c>
      <c r="E45" s="5">
        <f>WEEKNUM(Table1[[#This Row],[Start Datetime]])</f>
        <v>41</v>
      </c>
      <c r="F45" s="5">
        <f>WEEKNUM(Table1[[#This Row],[Completed Datetime]])</f>
        <v>41</v>
      </c>
    </row>
    <row r="46" spans="1:6" x14ac:dyDescent="0.45">
      <c r="A46" s="1" t="s">
        <v>91</v>
      </c>
      <c r="B46" s="1" t="s">
        <v>92</v>
      </c>
      <c r="C46" s="2">
        <v>45943.295138888891</v>
      </c>
      <c r="D46" s="2">
        <v>45943.334722222222</v>
      </c>
      <c r="E46" s="5">
        <f>WEEKNUM(Table1[[#This Row],[Start Datetime]])</f>
        <v>42</v>
      </c>
      <c r="F46" s="5">
        <f>WEEKNUM(Table1[[#This Row],[Completed Datetime]])</f>
        <v>42</v>
      </c>
    </row>
    <row r="47" spans="1:6" x14ac:dyDescent="0.45">
      <c r="A47" s="1" t="s">
        <v>93</v>
      </c>
      <c r="B47" s="1" t="s">
        <v>94</v>
      </c>
      <c r="C47" s="2">
        <v>45950.402777777781</v>
      </c>
      <c r="D47" s="2">
        <v>45950.427083333336</v>
      </c>
      <c r="E47" s="5">
        <f>WEEKNUM(Table1[[#This Row],[Start Datetime]])</f>
        <v>43</v>
      </c>
      <c r="F47" s="5">
        <f>WEEKNUM(Table1[[#This Row],[Completed Datetime]])</f>
        <v>43</v>
      </c>
    </row>
    <row r="48" spans="1:6" x14ac:dyDescent="0.45">
      <c r="A48" s="1" t="s">
        <v>95</v>
      </c>
      <c r="B48" s="1" t="s">
        <v>96</v>
      </c>
      <c r="C48" s="2">
        <v>45958.496527777781</v>
      </c>
      <c r="D48" s="2">
        <v>45958.525694444441</v>
      </c>
      <c r="E48" s="5">
        <f>WEEKNUM(Table1[[#This Row],[Start Datetime]])</f>
        <v>44</v>
      </c>
      <c r="F48" s="5">
        <f>WEEKNUM(Table1[[#This Row],[Completed Datetime]])</f>
        <v>44</v>
      </c>
    </row>
    <row r="49" spans="1:6" x14ac:dyDescent="0.45">
      <c r="A49" s="1" t="s">
        <v>97</v>
      </c>
      <c r="B49" s="1" t="s">
        <v>98</v>
      </c>
      <c r="C49" s="2">
        <v>45965.347222222219</v>
      </c>
      <c r="D49" s="2">
        <v>45965.383333333331</v>
      </c>
      <c r="E49" s="5">
        <f>WEEKNUM(Table1[[#This Row],[Start Datetime]])</f>
        <v>45</v>
      </c>
      <c r="F49" s="5">
        <f>WEEKNUM(Table1[[#This Row],[Completed Datetime]])</f>
        <v>45</v>
      </c>
    </row>
    <row r="50" spans="1:6" x14ac:dyDescent="0.45">
      <c r="A50" s="1" t="s">
        <v>99</v>
      </c>
      <c r="B50" s="1" t="s">
        <v>100</v>
      </c>
      <c r="C50" s="2">
        <v>45973.28125</v>
      </c>
      <c r="D50" s="2"/>
      <c r="E50" s="5">
        <f>WEEKNUM(Table1[[#This Row],[Start Datetime]])</f>
        <v>46</v>
      </c>
      <c r="F50" s="5">
        <f>WEEKNUM(Table1[[#This Row],[Completed Datetime]])</f>
        <v>0</v>
      </c>
    </row>
    <row r="51" spans="1:6" x14ac:dyDescent="0.45">
      <c r="A51" s="1" t="s">
        <v>101</v>
      </c>
      <c r="B51" s="1" t="s">
        <v>102</v>
      </c>
      <c r="C51" s="2">
        <v>45996.590277777781</v>
      </c>
      <c r="D51" s="2"/>
      <c r="E51" s="5">
        <f>WEEKNUM(Table1[[#This Row],[Start Datetime]])</f>
        <v>49</v>
      </c>
      <c r="F51" s="5">
        <f>WEEKNUM(Table1[[#This Row],[Completed Datetime]])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Jacobson</dc:creator>
  <cp:lastModifiedBy>Zach Jacobson</cp:lastModifiedBy>
  <dcterms:created xsi:type="dcterms:W3CDTF">2025-11-16T23:26:19Z</dcterms:created>
  <dcterms:modified xsi:type="dcterms:W3CDTF">2026-03-07T16:10:05Z</dcterms:modified>
</cp:coreProperties>
</file>